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8705" codeName="{7A2D7E96-6E34-419A-AE5F-296B3A7E7977}"/>
  <workbookPr codeName="ThisWorkbook" autoCompressPictures="0"/>
  <bookViews>
    <workbookView xWindow="0" yWindow="0" windowWidth="25520" windowHeight="15600"/>
  </bookViews>
  <sheets>
    <sheet name="Sheet1" sheetId="1" r:id="rId1"/>
  </sheets>
  <definedNames>
    <definedName name="_xlnm.Print_Area" localSheetId="0">Sheet1!$A$1:$L$32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" i="1" l="1"/>
  <c r="C24" i="1"/>
  <c r="E24" i="1"/>
  <c r="F24" i="1"/>
  <c r="G24" i="1"/>
  <c r="H24" i="1"/>
  <c r="C25" i="1"/>
  <c r="J25" i="1"/>
  <c r="I25" i="1"/>
  <c r="H25" i="1"/>
  <c r="G25" i="1"/>
  <c r="F25" i="1"/>
  <c r="E25" i="1"/>
  <c r="D25" i="1"/>
  <c r="K3" i="1"/>
  <c r="H3" i="1"/>
</calcChain>
</file>

<file path=xl/sharedStrings.xml><?xml version="1.0" encoding="utf-8"?>
<sst xmlns="http://schemas.openxmlformats.org/spreadsheetml/2006/main" count="111" uniqueCount="19">
  <si>
    <t>年</t>
    <rPh sb="0" eb="1">
      <t>ネン</t>
    </rPh>
    <phoneticPr fontId="1"/>
  </si>
  <si>
    <t>担当</t>
    <rPh sb="0" eb="2">
      <t>タントウ</t>
    </rPh>
    <phoneticPr fontId="1"/>
  </si>
  <si>
    <t>種目番号</t>
    <rPh sb="0" eb="2">
      <t>シュモク</t>
    </rPh>
    <rPh sb="2" eb="4">
      <t>バンゴウ</t>
    </rPh>
    <phoneticPr fontId="1"/>
  </si>
  <si>
    <t>赤</t>
    <rPh sb="0" eb="1">
      <t>アカ</t>
    </rPh>
    <phoneticPr fontId="1"/>
  </si>
  <si>
    <t>点</t>
    <rPh sb="0" eb="1">
      <t>テン</t>
    </rPh>
    <phoneticPr fontId="1"/>
  </si>
  <si>
    <t>白</t>
    <rPh sb="0" eb="1">
      <t>シロ</t>
    </rPh>
    <phoneticPr fontId="1"/>
  </si>
  <si>
    <t>合計</t>
    <rPh sb="0" eb="2">
      <t>ゴウケイ</t>
    </rPh>
    <phoneticPr fontId="1"/>
  </si>
  <si>
    <t>得点</t>
    <rPh sb="0" eb="2">
      <t>トクテン</t>
    </rPh>
    <phoneticPr fontId="1"/>
  </si>
  <si>
    <t>１位</t>
    <rPh sb="1" eb="2">
      <t>イ</t>
    </rPh>
    <phoneticPr fontId="1"/>
  </si>
  <si>
    <t>２位</t>
    <rPh sb="1" eb="2">
      <t>イ</t>
    </rPh>
    <phoneticPr fontId="1"/>
  </si>
  <si>
    <t>３位</t>
    <rPh sb="1" eb="2">
      <t>イ</t>
    </rPh>
    <phoneticPr fontId="1"/>
  </si>
  <si>
    <t>４点</t>
    <rPh sb="1" eb="2">
      <t>テン</t>
    </rPh>
    <phoneticPr fontId="1"/>
  </si>
  <si>
    <t>３点</t>
    <rPh sb="1" eb="2">
      <t>テン</t>
    </rPh>
    <phoneticPr fontId="1"/>
  </si>
  <si>
    <t>２点</t>
    <rPh sb="1" eb="2">
      <t>テン</t>
    </rPh>
    <phoneticPr fontId="1"/>
  </si>
  <si>
    <t>赤（人）</t>
    <rPh sb="0" eb="1">
      <t>アカ</t>
    </rPh>
    <rPh sb="2" eb="3">
      <t>ニン</t>
    </rPh>
    <phoneticPr fontId="1"/>
  </si>
  <si>
    <t>白(人)</t>
    <rPh sb="0" eb="1">
      <t>シロ</t>
    </rPh>
    <rPh sb="2" eb="3">
      <t>ニン</t>
    </rPh>
    <phoneticPr fontId="1"/>
  </si>
  <si>
    <t>走順</t>
    <rPh sb="0" eb="2">
      <t>ソウジュン</t>
    </rPh>
    <phoneticPr fontId="1"/>
  </si>
  <si>
    <t>４～７位　各１点</t>
    <rPh sb="3" eb="4">
      <t>イ</t>
    </rPh>
    <phoneticPr fontId="1"/>
  </si>
  <si>
    <t>種目名</t>
    <rPh sb="0" eb="2">
      <t>シュモク</t>
    </rPh>
    <rPh sb="2" eb="3">
      <t>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</si>
</sst>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6"/>
      <color theme="1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22"/>
      <color theme="1"/>
      <name val="HG丸ｺﾞｼｯｸM-PRO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u/>
      <sz val="11"/>
      <color theme="11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</fills>
  <borders count="4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thin">
        <color auto="1"/>
      </bottom>
      <diagonal/>
    </border>
    <border>
      <left/>
      <right style="medium">
        <color auto="1"/>
      </right>
      <top style="dashed">
        <color auto="1"/>
      </top>
      <bottom style="thin">
        <color auto="1"/>
      </bottom>
      <diagonal/>
    </border>
    <border>
      <left/>
      <right/>
      <top style="medium">
        <color auto="1"/>
      </top>
      <bottom style="dashed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5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76">
    <xf numFmtId="0" fontId="0" fillId="0" borderId="0" xfId="0">
      <alignment vertical="center"/>
    </xf>
    <xf numFmtId="0" fontId="0" fillId="0" borderId="27" xfId="0" applyBorder="1">
      <alignment vertical="center"/>
    </xf>
    <xf numFmtId="0" fontId="0" fillId="0" borderId="35" xfId="0" applyBorder="1">
      <alignment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38" xfId="0" applyFont="1" applyBorder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0" borderId="1" xfId="0" applyFont="1" applyBorder="1">
      <alignment vertical="center"/>
    </xf>
    <xf numFmtId="0" fontId="2" fillId="0" borderId="0" xfId="0" applyFont="1">
      <alignment vertical="center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>
      <alignment vertical="center"/>
    </xf>
    <xf numFmtId="0" fontId="2" fillId="0" borderId="3" xfId="0" applyFont="1" applyBorder="1">
      <alignment vertical="center"/>
    </xf>
    <xf numFmtId="0" fontId="2" fillId="0" borderId="22" xfId="0" applyFont="1" applyBorder="1" applyAlignment="1">
      <alignment horizontal="center" vertical="center"/>
    </xf>
    <xf numFmtId="0" fontId="2" fillId="0" borderId="25" xfId="0" applyFont="1" applyBorder="1">
      <alignment vertical="center"/>
    </xf>
    <xf numFmtId="0" fontId="2" fillId="0" borderId="24" xfId="0" applyFont="1" applyBorder="1">
      <alignment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>
      <alignment vertical="center"/>
    </xf>
    <xf numFmtId="0" fontId="2" fillId="0" borderId="20" xfId="0" applyFont="1" applyBorder="1">
      <alignment vertical="center"/>
    </xf>
    <xf numFmtId="0" fontId="3" fillId="0" borderId="1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2" fillId="0" borderId="0" xfId="0" applyFont="1" applyFill="1">
      <alignment vertical="center"/>
    </xf>
    <xf numFmtId="0" fontId="0" fillId="0" borderId="38" xfId="0" applyFill="1" applyBorder="1">
      <alignment vertical="center"/>
    </xf>
    <xf numFmtId="0" fontId="2" fillId="0" borderId="16" xfId="0" applyFont="1" applyFill="1" applyBorder="1">
      <alignment vertical="center"/>
    </xf>
    <xf numFmtId="0" fontId="2" fillId="0" borderId="17" xfId="0" applyFont="1" applyFill="1" applyBorder="1">
      <alignment vertical="center"/>
    </xf>
    <xf numFmtId="0" fontId="4" fillId="0" borderId="16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8" xfId="0" applyFont="1" applyFill="1" applyBorder="1">
      <alignment vertical="center"/>
    </xf>
    <xf numFmtId="0" fontId="4" fillId="2" borderId="2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2" xfId="0" applyFont="1" applyFill="1" applyBorder="1">
      <alignment vertical="center"/>
    </xf>
    <xf numFmtId="0" fontId="2" fillId="0" borderId="13" xfId="0" applyFont="1" applyFill="1" applyBorder="1">
      <alignment vertical="center"/>
    </xf>
    <xf numFmtId="0" fontId="4" fillId="3" borderId="3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0" fillId="0" borderId="34" xfId="0" applyFill="1" applyBorder="1" applyAlignment="1">
      <alignment horizontal="center" vertical="center" textRotation="255"/>
    </xf>
    <xf numFmtId="0" fontId="0" fillId="0" borderId="35" xfId="0" applyFill="1" applyBorder="1" applyAlignment="1">
      <alignment horizontal="center" vertical="center" textRotation="255"/>
    </xf>
    <xf numFmtId="0" fontId="2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3" fillId="0" borderId="29" xfId="0" applyFont="1" applyFill="1" applyBorder="1" applyAlignment="1">
      <alignment horizontal="center" vertical="center"/>
    </xf>
    <xf numFmtId="0" fontId="3" fillId="0" borderId="30" xfId="0" applyFont="1" applyFill="1" applyBorder="1" applyAlignment="1">
      <alignment horizontal="center" vertical="center"/>
    </xf>
    <xf numFmtId="0" fontId="3" fillId="0" borderId="31" xfId="0" applyFont="1" applyFill="1" applyBorder="1" applyAlignment="1">
      <alignment horizontal="center" vertical="center"/>
    </xf>
    <xf numFmtId="0" fontId="3" fillId="0" borderId="32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</cellXfs>
  <cellStyles count="1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453568</xdr:colOff>
      <xdr:row>5</xdr:row>
      <xdr:rowOff>18143</xdr:rowOff>
    </xdr:from>
    <xdr:to>
      <xdr:col>22</xdr:col>
      <xdr:colOff>634998</xdr:colOff>
      <xdr:row>10</xdr:row>
      <xdr:rowOff>308428</xdr:rowOff>
    </xdr:to>
    <xdr:sp macro="" textlink="">
      <xdr:nvSpPr>
        <xdr:cNvPr id="2" name="正方形/長方形 1"/>
        <xdr:cNvSpPr/>
      </xdr:nvSpPr>
      <xdr:spPr>
        <a:xfrm>
          <a:off x="10123711" y="1886857"/>
          <a:ext cx="8599716" cy="312057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>
              <a:solidFill>
                <a:schemeClr val="tx1"/>
              </a:solidFill>
              <a:latin typeface="HG丸ｺﾞｼｯｸM-PRO"/>
              <a:ea typeface="HG丸ｺﾞｼｯｸM-PRO"/>
              <a:cs typeface="HG丸ｺﾞｼｯｸM-PRO"/>
            </a:rPr>
            <a:t>【</a:t>
          </a:r>
          <a:r>
            <a:rPr kumimoji="1" lang="ja-JP" altLang="en-US" sz="2000">
              <a:solidFill>
                <a:schemeClr val="tx1"/>
              </a:solidFill>
              <a:latin typeface="HG丸ｺﾞｼｯｸM-PRO"/>
              <a:ea typeface="HG丸ｺﾞｼｯｸM-PRO"/>
              <a:cs typeface="HG丸ｺﾞｼｯｸM-PRO"/>
            </a:rPr>
            <a:t>つかいかた</a:t>
          </a:r>
          <a:r>
            <a:rPr kumimoji="1" lang="en-US" altLang="ja-JP" sz="2000">
              <a:solidFill>
                <a:schemeClr val="tx1"/>
              </a:solidFill>
              <a:latin typeface="HG丸ｺﾞｼｯｸM-PRO"/>
              <a:ea typeface="HG丸ｺﾞｼｯｸM-PRO"/>
              <a:cs typeface="HG丸ｺﾞｼｯｸM-PRO"/>
            </a:rPr>
            <a:t>】</a:t>
          </a:r>
        </a:p>
        <a:p>
          <a:pPr algn="l"/>
          <a:r>
            <a:rPr kumimoji="1" lang="ja-JP" altLang="en-US" sz="2000">
              <a:solidFill>
                <a:schemeClr val="tx1"/>
              </a:solidFill>
              <a:latin typeface="HG丸ｺﾞｼｯｸM-PRO"/>
              <a:ea typeface="HG丸ｺﾞｼｯｸM-PRO"/>
              <a:cs typeface="HG丸ｺﾞｼｯｸM-PRO"/>
            </a:rPr>
            <a:t>「赤」のセルをクリックすると、セルの色が</a:t>
          </a:r>
          <a:r>
            <a:rPr kumimoji="1" lang="ja-JP" altLang="en-US" sz="2000" b="1">
              <a:solidFill>
                <a:srgbClr val="FF0000"/>
              </a:solidFill>
              <a:latin typeface="HG丸ｺﾞｼｯｸM-PRO"/>
              <a:ea typeface="HG丸ｺﾞｼｯｸM-PRO"/>
              <a:cs typeface="HG丸ｺﾞｼｯｸM-PRO"/>
            </a:rPr>
            <a:t>赤色</a:t>
          </a:r>
          <a:r>
            <a:rPr kumimoji="1" lang="ja-JP" altLang="en-US" sz="2000">
              <a:solidFill>
                <a:schemeClr val="tx1"/>
              </a:solidFill>
              <a:latin typeface="HG丸ｺﾞｼｯｸM-PRO"/>
              <a:ea typeface="HG丸ｺﾞｼｯｸM-PRO"/>
              <a:cs typeface="HG丸ｺﾞｼｯｸM-PRO"/>
            </a:rPr>
            <a:t>になります。</a:t>
          </a:r>
          <a:endParaRPr kumimoji="1" lang="en-US" altLang="ja-JP" sz="2000">
            <a:solidFill>
              <a:schemeClr val="tx1"/>
            </a:solidFill>
            <a:latin typeface="HG丸ｺﾞｼｯｸM-PRO"/>
            <a:ea typeface="HG丸ｺﾞｼｯｸM-PRO"/>
            <a:cs typeface="HG丸ｺﾞｼｯｸM-PRO"/>
          </a:endParaRPr>
        </a:p>
        <a:p>
          <a:pPr algn="l"/>
          <a:r>
            <a:rPr kumimoji="1" lang="ja-JP" altLang="en-US" sz="2000">
              <a:solidFill>
                <a:schemeClr val="tx1"/>
              </a:solidFill>
              <a:latin typeface="HG丸ｺﾞｼｯｸM-PRO"/>
              <a:ea typeface="HG丸ｺﾞｼｯｸM-PRO"/>
              <a:cs typeface="HG丸ｺﾞｼｯｸM-PRO"/>
            </a:rPr>
            <a:t>「白」のセルをクリックすると、セルの色が</a:t>
          </a:r>
          <a:r>
            <a:rPr kumimoji="1" lang="ja-JP" altLang="en-US" sz="2000" b="1">
              <a:solidFill>
                <a:srgbClr val="008000"/>
              </a:solidFill>
              <a:latin typeface="HG丸ｺﾞｼｯｸM-PRO"/>
              <a:ea typeface="HG丸ｺﾞｼｯｸM-PRO"/>
              <a:cs typeface="HG丸ｺﾞｼｯｸM-PRO"/>
            </a:rPr>
            <a:t>緑色</a:t>
          </a:r>
          <a:r>
            <a:rPr kumimoji="1" lang="ja-JP" altLang="en-US" sz="2000">
              <a:solidFill>
                <a:schemeClr val="tx1"/>
              </a:solidFill>
              <a:latin typeface="HG丸ｺﾞｼｯｸM-PRO"/>
              <a:ea typeface="HG丸ｺﾞｼｯｸM-PRO"/>
              <a:cs typeface="HG丸ｺﾞｼｯｸM-PRO"/>
            </a:rPr>
            <a:t>になります。</a:t>
          </a:r>
          <a:endParaRPr kumimoji="1" lang="en-US" altLang="ja-JP" sz="2000">
            <a:solidFill>
              <a:schemeClr val="tx1"/>
            </a:solidFill>
            <a:latin typeface="HG丸ｺﾞｼｯｸM-PRO"/>
            <a:ea typeface="HG丸ｺﾞｼｯｸM-PRO"/>
            <a:cs typeface="HG丸ｺﾞｼｯｸM-PRO"/>
          </a:endParaRPr>
        </a:p>
        <a:p>
          <a:pPr algn="l"/>
          <a:r>
            <a:rPr kumimoji="1" lang="ja-JP" altLang="en-US" sz="2000">
              <a:solidFill>
                <a:schemeClr val="tx1"/>
              </a:solidFill>
              <a:latin typeface="HG丸ｺﾞｼｯｸM-PRO"/>
              <a:ea typeface="HG丸ｺﾞｼｯｸM-PRO"/>
              <a:cs typeface="HG丸ｺﾞｼｯｸM-PRO"/>
            </a:rPr>
            <a:t>　色が変わったセルを再度クリックすると、色がもとに戻ります。</a:t>
          </a:r>
          <a:endParaRPr kumimoji="1" lang="en-US" altLang="ja-JP" sz="2000">
            <a:solidFill>
              <a:schemeClr val="tx1"/>
            </a:solidFill>
            <a:latin typeface="HG丸ｺﾞｼｯｸM-PRO"/>
            <a:ea typeface="HG丸ｺﾞｼｯｸM-PRO"/>
            <a:cs typeface="HG丸ｺﾞｼｯｸM-PRO"/>
          </a:endParaRPr>
        </a:p>
        <a:p>
          <a:pPr algn="l"/>
          <a:endParaRPr kumimoji="1" lang="en-US" altLang="ja-JP" sz="2000">
            <a:solidFill>
              <a:schemeClr val="tx1"/>
            </a:solidFill>
            <a:latin typeface="HG丸ｺﾞｼｯｸM-PRO"/>
            <a:ea typeface="HG丸ｺﾞｼｯｸM-PRO"/>
            <a:cs typeface="HG丸ｺﾞｼｯｸM-PRO"/>
          </a:endParaRPr>
        </a:p>
        <a:p>
          <a:pPr algn="l"/>
          <a:r>
            <a:rPr kumimoji="1" lang="en-US" altLang="ja-JP" sz="2000">
              <a:solidFill>
                <a:schemeClr val="tx1"/>
              </a:solidFill>
              <a:latin typeface="HG丸ｺﾞｼｯｸM-PRO"/>
              <a:ea typeface="HG丸ｺﾞｼｯｸM-PRO"/>
              <a:cs typeface="HG丸ｺﾞｼｯｸM-PRO"/>
            </a:rPr>
            <a:t>【</a:t>
          </a:r>
          <a:r>
            <a:rPr kumimoji="1" lang="ja-JP" altLang="en-US" sz="2000">
              <a:solidFill>
                <a:schemeClr val="tx1"/>
              </a:solidFill>
              <a:latin typeface="HG丸ｺﾞｼｯｸM-PRO"/>
              <a:ea typeface="HG丸ｺﾞｼｯｸM-PRO"/>
              <a:cs typeface="HG丸ｺﾞｼｯｸM-PRO"/>
            </a:rPr>
            <a:t>注意点</a:t>
          </a:r>
          <a:r>
            <a:rPr kumimoji="1" lang="en-US" altLang="ja-JP" sz="2000">
              <a:solidFill>
                <a:schemeClr val="tx1"/>
              </a:solidFill>
              <a:latin typeface="HG丸ｺﾞｼｯｸM-PRO"/>
              <a:ea typeface="HG丸ｺﾞｼｯｸM-PRO"/>
              <a:cs typeface="HG丸ｺﾞｼｯｸM-PRO"/>
            </a:rPr>
            <a:t>】</a:t>
          </a:r>
        </a:p>
        <a:p>
          <a:pPr algn="l"/>
          <a:r>
            <a:rPr kumimoji="1" lang="ja-JP" altLang="en-US" sz="2000">
              <a:solidFill>
                <a:schemeClr val="tx1"/>
              </a:solidFill>
              <a:latin typeface="HG丸ｺﾞｼｯｸM-PRO"/>
              <a:ea typeface="HG丸ｺﾞｼｯｸM-PRO"/>
              <a:cs typeface="HG丸ｺﾞｼｯｸM-PRO"/>
            </a:rPr>
            <a:t>「合計」行のセルは、セルの色を変えただけでは加算されません。</a:t>
          </a:r>
          <a:endParaRPr kumimoji="1" lang="en-US" altLang="ja-JP" sz="2000">
            <a:solidFill>
              <a:schemeClr val="tx1"/>
            </a:solidFill>
            <a:latin typeface="HG丸ｺﾞｼｯｸM-PRO"/>
            <a:ea typeface="HG丸ｺﾞｼｯｸM-PRO"/>
            <a:cs typeface="HG丸ｺﾞｼｯｸM-PRO"/>
          </a:endParaRPr>
        </a:p>
        <a:p>
          <a:pPr algn="l"/>
          <a:r>
            <a:rPr kumimoji="1" lang="ja-JP" altLang="en-US" sz="2000">
              <a:solidFill>
                <a:schemeClr val="tx1"/>
              </a:solidFill>
              <a:latin typeface="HG丸ｺﾞｼｯｸM-PRO"/>
              <a:ea typeface="HG丸ｺﾞｼｯｸM-PRO"/>
              <a:cs typeface="HG丸ｺﾞｼｯｸM-PRO"/>
            </a:rPr>
            <a:t>「合計」行のセル内に入っている</a:t>
          </a:r>
          <a:r>
            <a:rPr kumimoji="1" lang="en-US" altLang="ja-JP" sz="2000">
              <a:solidFill>
                <a:schemeClr val="tx1"/>
              </a:solidFill>
              <a:latin typeface="HG丸ｺﾞｼｯｸM-PRO"/>
              <a:ea typeface="HG丸ｺﾞｼｯｸM-PRO"/>
              <a:cs typeface="HG丸ｺﾞｼｯｸM-PRO"/>
            </a:rPr>
            <a:t>CountColor</a:t>
          </a:r>
          <a:r>
            <a:rPr kumimoji="1" lang="ja-JP" altLang="en-US" sz="2000">
              <a:solidFill>
                <a:schemeClr val="tx1"/>
              </a:solidFill>
              <a:latin typeface="HG丸ｺﾞｼｯｸM-PRO"/>
              <a:ea typeface="HG丸ｺﾞｼｯｸM-PRO"/>
              <a:cs typeface="HG丸ｺﾞｼｯｸM-PRO"/>
            </a:rPr>
            <a:t>関数を再度実行すれば、</a:t>
          </a:r>
          <a:endParaRPr kumimoji="1" lang="en-US" altLang="ja-JP" sz="2000">
            <a:solidFill>
              <a:schemeClr val="tx1"/>
            </a:solidFill>
            <a:latin typeface="HG丸ｺﾞｼｯｸM-PRO"/>
            <a:ea typeface="HG丸ｺﾞｼｯｸM-PRO"/>
            <a:cs typeface="HG丸ｺﾞｼｯｸM-PRO"/>
          </a:endParaRPr>
        </a:p>
        <a:p>
          <a:pPr algn="l"/>
          <a:r>
            <a:rPr kumimoji="1" lang="ja-JP" altLang="en-US" sz="2000">
              <a:solidFill>
                <a:schemeClr val="tx1"/>
              </a:solidFill>
              <a:latin typeface="HG丸ｺﾞｼｯｸM-PRO"/>
              <a:ea typeface="HG丸ｺﾞｼｯｸM-PRO"/>
              <a:cs typeface="HG丸ｺﾞｼｯｸM-PRO"/>
            </a:rPr>
            <a:t>　加算結果が反映されます。</a:t>
          </a:r>
          <a:endParaRPr kumimoji="1" lang="en-US" altLang="ja-JP" sz="2000">
            <a:solidFill>
              <a:schemeClr val="tx1"/>
            </a:solidFill>
            <a:latin typeface="HG丸ｺﾞｼｯｸM-PRO"/>
            <a:ea typeface="HG丸ｺﾞｼｯｸM-PRO"/>
            <a:cs typeface="HG丸ｺﾞｼｯｸM-PRO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N27"/>
  <sheetViews>
    <sheetView tabSelected="1" view="pageBreakPreview" zoomScale="70" zoomScaleNormal="85" zoomScaleSheetLayoutView="70" zoomScalePageLayoutView="85" workbookViewId="0">
      <selection activeCell="M4" sqref="M4"/>
    </sheetView>
  </sheetViews>
  <sheetFormatPr baseColWidth="12" defaultColWidth="8.83203125" defaultRowHeight="17" x14ac:dyDescent="0"/>
  <cols>
    <col min="1" max="1" width="2.83203125" bestFit="1" customWidth="1"/>
    <col min="2" max="2" width="9.6640625" customWidth="1"/>
    <col min="3" max="10" width="14.1640625" customWidth="1"/>
    <col min="11" max="11" width="13.5" customWidth="1"/>
  </cols>
  <sheetData>
    <row r="1" spans="1:12" ht="33.75" customHeight="1" thickBot="1">
      <c r="B1" s="4" t="s">
        <v>1</v>
      </c>
      <c r="C1" s="35"/>
      <c r="D1" s="5" t="s">
        <v>0</v>
      </c>
      <c r="E1" s="59"/>
      <c r="F1" s="60"/>
      <c r="G1" s="61"/>
      <c r="H1" s="3"/>
      <c r="I1" s="3"/>
    </row>
    <row r="2" spans="1:12" ht="18" thickBot="1">
      <c r="C2" s="33"/>
    </row>
    <row r="3" spans="1:12" ht="39" customHeight="1" thickBot="1">
      <c r="B3" s="68" t="s">
        <v>2</v>
      </c>
      <c r="C3" s="69"/>
      <c r="D3" s="70" t="s">
        <v>18</v>
      </c>
      <c r="E3" s="70"/>
      <c r="F3" s="71"/>
      <c r="G3" s="27" t="s">
        <v>3</v>
      </c>
      <c r="H3" s="7">
        <f ca="1">SUM(C25,E25,G25,I25)</f>
        <v>0</v>
      </c>
      <c r="I3" s="28" t="s">
        <v>4</v>
      </c>
      <c r="J3" s="27" t="s">
        <v>5</v>
      </c>
      <c r="K3" s="7">
        <f ca="1">SUM(D25,F25,H25,J25)</f>
        <v>0</v>
      </c>
      <c r="L3" s="28" t="s">
        <v>4</v>
      </c>
    </row>
    <row r="4" spans="1:12" ht="39" customHeight="1" thickBot="1">
      <c r="B4" s="66"/>
      <c r="C4" s="67"/>
      <c r="D4" s="72"/>
      <c r="E4" s="72"/>
      <c r="F4" s="73"/>
      <c r="G4" s="8"/>
      <c r="H4" s="8"/>
      <c r="I4" s="8"/>
      <c r="J4" s="6"/>
      <c r="K4" s="8"/>
      <c r="L4" s="8"/>
    </row>
    <row r="5" spans="1:12" ht="18" thickBot="1">
      <c r="B5" s="8"/>
      <c r="C5" s="34"/>
      <c r="D5" s="8"/>
      <c r="E5" s="8"/>
      <c r="F5" s="8"/>
      <c r="G5" s="8"/>
      <c r="H5" s="8"/>
      <c r="I5" s="8"/>
      <c r="J5" s="8"/>
      <c r="K5" s="8"/>
      <c r="L5" s="8"/>
    </row>
    <row r="6" spans="1:12" ht="40.5" customHeight="1">
      <c r="A6" s="64"/>
      <c r="B6" s="53"/>
      <c r="C6" s="55" t="s">
        <v>8</v>
      </c>
      <c r="D6" s="56"/>
      <c r="E6" s="55" t="s">
        <v>9</v>
      </c>
      <c r="F6" s="56"/>
      <c r="G6" s="55" t="s">
        <v>10</v>
      </c>
      <c r="H6" s="56"/>
      <c r="I6" s="62" t="s">
        <v>17</v>
      </c>
      <c r="J6" s="63"/>
      <c r="K6" s="8"/>
      <c r="L6" s="8"/>
    </row>
    <row r="7" spans="1:12" ht="40.5" customHeight="1">
      <c r="A7" s="65"/>
      <c r="B7" s="54"/>
      <c r="C7" s="57" t="s">
        <v>11</v>
      </c>
      <c r="D7" s="58"/>
      <c r="E7" s="57" t="s">
        <v>12</v>
      </c>
      <c r="F7" s="58"/>
      <c r="G7" s="57" t="s">
        <v>13</v>
      </c>
      <c r="H7" s="58"/>
      <c r="I7" s="26" t="s">
        <v>14</v>
      </c>
      <c r="J7" s="23" t="s">
        <v>15</v>
      </c>
      <c r="K7" s="8"/>
      <c r="L7" s="8"/>
    </row>
    <row r="8" spans="1:12" ht="40.5" customHeight="1" thickBot="1">
      <c r="A8" s="65"/>
      <c r="B8" s="9" t="s">
        <v>1</v>
      </c>
      <c r="C8" s="49"/>
      <c r="D8" s="50"/>
      <c r="E8" s="49"/>
      <c r="F8" s="50"/>
      <c r="G8" s="51"/>
      <c r="H8" s="52"/>
      <c r="I8" s="10"/>
      <c r="J8" s="11"/>
      <c r="K8" s="8"/>
      <c r="L8" s="8"/>
    </row>
    <row r="9" spans="1:12" ht="52.5" customHeight="1">
      <c r="A9" s="47" t="s">
        <v>16</v>
      </c>
      <c r="B9" s="42">
        <v>1</v>
      </c>
      <c r="C9" s="74" t="s">
        <v>3</v>
      </c>
      <c r="D9" s="31" t="s">
        <v>5</v>
      </c>
      <c r="E9" s="74" t="s">
        <v>3</v>
      </c>
      <c r="F9" s="31" t="s">
        <v>5</v>
      </c>
      <c r="G9" s="74" t="s">
        <v>3</v>
      </c>
      <c r="H9" s="31" t="s">
        <v>5</v>
      </c>
      <c r="I9" s="44"/>
      <c r="J9" s="43"/>
      <c r="K9" s="34"/>
      <c r="L9" s="34"/>
    </row>
    <row r="10" spans="1:12" ht="52.5" customHeight="1">
      <c r="A10" s="47"/>
      <c r="B10" s="12">
        <v>2</v>
      </c>
      <c r="C10" s="29" t="s">
        <v>3</v>
      </c>
      <c r="D10" s="32" t="s">
        <v>5</v>
      </c>
      <c r="E10" s="29" t="s">
        <v>3</v>
      </c>
      <c r="F10" s="25" t="s">
        <v>5</v>
      </c>
      <c r="G10" s="29" t="s">
        <v>3</v>
      </c>
      <c r="H10" s="25" t="s">
        <v>5</v>
      </c>
      <c r="I10" s="40"/>
      <c r="J10" s="14"/>
      <c r="K10" s="34"/>
      <c r="L10" s="8"/>
    </row>
    <row r="11" spans="1:12" ht="52.5" customHeight="1">
      <c r="A11" s="47"/>
      <c r="B11" s="12">
        <v>3</v>
      </c>
      <c r="C11" s="29" t="s">
        <v>3</v>
      </c>
      <c r="D11" s="32" t="s">
        <v>5</v>
      </c>
      <c r="E11" s="29" t="s">
        <v>3</v>
      </c>
      <c r="F11" s="32" t="s">
        <v>5</v>
      </c>
      <c r="G11" s="29" t="s">
        <v>3</v>
      </c>
      <c r="H11" s="32" t="s">
        <v>5</v>
      </c>
      <c r="I11" s="13"/>
      <c r="J11" s="14"/>
      <c r="K11" s="8"/>
      <c r="L11" s="8"/>
    </row>
    <row r="12" spans="1:12" ht="52.5" customHeight="1">
      <c r="A12" s="47"/>
      <c r="B12" s="12">
        <v>4</v>
      </c>
      <c r="C12" s="29" t="s">
        <v>3</v>
      </c>
      <c r="D12" s="32" t="s">
        <v>5</v>
      </c>
      <c r="E12" s="29" t="s">
        <v>3</v>
      </c>
      <c r="F12" s="32" t="s">
        <v>5</v>
      </c>
      <c r="G12" s="29" t="s">
        <v>3</v>
      </c>
      <c r="H12" s="32" t="s">
        <v>5</v>
      </c>
      <c r="I12" s="13"/>
      <c r="J12" s="14"/>
      <c r="K12" s="8"/>
      <c r="L12" s="8"/>
    </row>
    <row r="13" spans="1:12" ht="52.5" customHeight="1">
      <c r="A13" s="47"/>
      <c r="B13" s="12">
        <v>5</v>
      </c>
      <c r="C13" s="29" t="s">
        <v>3</v>
      </c>
      <c r="D13" s="32" t="s">
        <v>5</v>
      </c>
      <c r="E13" s="29" t="s">
        <v>3</v>
      </c>
      <c r="F13" s="32" t="s">
        <v>5</v>
      </c>
      <c r="G13" s="29" t="s">
        <v>3</v>
      </c>
      <c r="H13" s="32" t="s">
        <v>5</v>
      </c>
      <c r="I13" s="13"/>
      <c r="J13" s="14"/>
      <c r="K13" s="34"/>
      <c r="L13" s="8"/>
    </row>
    <row r="14" spans="1:12" ht="52.5" customHeight="1">
      <c r="A14" s="47"/>
      <c r="B14" s="12">
        <v>6</v>
      </c>
      <c r="C14" s="29" t="s">
        <v>3</v>
      </c>
      <c r="D14" s="32" t="s">
        <v>5</v>
      </c>
      <c r="E14" s="24" t="s">
        <v>3</v>
      </c>
      <c r="F14" s="32" t="s">
        <v>5</v>
      </c>
      <c r="G14" s="24" t="s">
        <v>3</v>
      </c>
      <c r="H14" s="32" t="s">
        <v>5</v>
      </c>
      <c r="I14" s="13"/>
      <c r="J14" s="14"/>
      <c r="K14" s="34"/>
      <c r="L14" s="8"/>
    </row>
    <row r="15" spans="1:12" ht="52.5" customHeight="1">
      <c r="A15" s="47"/>
      <c r="B15" s="12">
        <v>7</v>
      </c>
      <c r="C15" s="29" t="s">
        <v>3</v>
      </c>
      <c r="D15" s="32" t="s">
        <v>5</v>
      </c>
      <c r="E15" s="29" t="s">
        <v>3</v>
      </c>
      <c r="F15" s="25" t="s">
        <v>5</v>
      </c>
      <c r="G15" s="29" t="s">
        <v>3</v>
      </c>
      <c r="H15" s="32" t="s">
        <v>5</v>
      </c>
      <c r="I15" s="13"/>
      <c r="J15" s="14"/>
      <c r="K15" s="8"/>
      <c r="L15" s="8"/>
    </row>
    <row r="16" spans="1:12" ht="52.5" customHeight="1">
      <c r="A16" s="47"/>
      <c r="B16" s="12">
        <v>8</v>
      </c>
      <c r="C16" s="29" t="s">
        <v>3</v>
      </c>
      <c r="D16" s="32" t="s">
        <v>5</v>
      </c>
      <c r="E16" s="29" t="s">
        <v>3</v>
      </c>
      <c r="F16" s="32" t="s">
        <v>5</v>
      </c>
      <c r="G16" s="29" t="s">
        <v>3</v>
      </c>
      <c r="H16" s="32" t="s">
        <v>5</v>
      </c>
      <c r="I16" s="13"/>
      <c r="J16" s="14"/>
      <c r="K16" s="8"/>
      <c r="L16" s="8"/>
    </row>
    <row r="17" spans="1:14" ht="52.5" customHeight="1">
      <c r="A17" s="47"/>
      <c r="B17" s="12">
        <v>9</v>
      </c>
      <c r="C17" s="29" t="s">
        <v>3</v>
      </c>
      <c r="D17" s="25" t="s">
        <v>5</v>
      </c>
      <c r="E17" s="24" t="s">
        <v>3</v>
      </c>
      <c r="F17" s="32" t="s">
        <v>5</v>
      </c>
      <c r="G17" s="24" t="s">
        <v>3</v>
      </c>
      <c r="H17" s="32" t="s">
        <v>5</v>
      </c>
      <c r="I17" s="13"/>
      <c r="J17" s="14"/>
      <c r="K17" s="8"/>
      <c r="L17" s="8"/>
    </row>
    <row r="18" spans="1:14" ht="52.5" customHeight="1">
      <c r="A18" s="47"/>
      <c r="B18" s="12">
        <v>10</v>
      </c>
      <c r="C18" s="29" t="s">
        <v>3</v>
      </c>
      <c r="D18" s="32" t="s">
        <v>5</v>
      </c>
      <c r="E18" s="29" t="s">
        <v>3</v>
      </c>
      <c r="F18" s="32" t="s">
        <v>5</v>
      </c>
      <c r="G18" s="29" t="s">
        <v>3</v>
      </c>
      <c r="H18" s="25" t="s">
        <v>5</v>
      </c>
      <c r="I18" s="13"/>
      <c r="J18" s="14"/>
      <c r="K18" s="8"/>
      <c r="L18" s="8"/>
    </row>
    <row r="19" spans="1:14" ht="52.5" customHeight="1">
      <c r="A19" s="47"/>
      <c r="B19" s="12">
        <v>11</v>
      </c>
      <c r="C19" s="29" t="s">
        <v>3</v>
      </c>
      <c r="D19" s="32" t="s">
        <v>5</v>
      </c>
      <c r="E19" s="24" t="s">
        <v>3</v>
      </c>
      <c r="F19" s="32" t="s">
        <v>5</v>
      </c>
      <c r="G19" s="24" t="s">
        <v>3</v>
      </c>
      <c r="H19" s="32" t="s">
        <v>5</v>
      </c>
      <c r="I19" s="13"/>
      <c r="J19" s="14"/>
      <c r="K19" s="8"/>
      <c r="L19" s="8"/>
    </row>
    <row r="20" spans="1:14" ht="52.5" customHeight="1">
      <c r="A20" s="47"/>
      <c r="B20" s="12">
        <v>12</v>
      </c>
      <c r="C20" s="29" t="s">
        <v>3</v>
      </c>
      <c r="D20" s="32" t="s">
        <v>5</v>
      </c>
      <c r="E20" s="29" t="s">
        <v>3</v>
      </c>
      <c r="F20" s="32" t="s">
        <v>5</v>
      </c>
      <c r="G20" s="29" t="s">
        <v>3</v>
      </c>
      <c r="H20" s="32" t="s">
        <v>5</v>
      </c>
      <c r="I20" s="13"/>
      <c r="J20" s="14"/>
      <c r="K20" s="8"/>
      <c r="L20" s="8"/>
    </row>
    <row r="21" spans="1:14" ht="52.5" customHeight="1">
      <c r="A21" s="47"/>
      <c r="B21" s="12">
        <v>13</v>
      </c>
      <c r="C21" s="29" t="s">
        <v>3</v>
      </c>
      <c r="D21" s="32" t="s">
        <v>5</v>
      </c>
      <c r="E21" s="24" t="s">
        <v>3</v>
      </c>
      <c r="F21" s="32" t="s">
        <v>5</v>
      </c>
      <c r="G21" s="29" t="s">
        <v>3</v>
      </c>
      <c r="H21" s="25" t="s">
        <v>5</v>
      </c>
      <c r="I21" s="13"/>
      <c r="J21" s="14"/>
      <c r="K21" s="8"/>
      <c r="L21" s="8"/>
    </row>
    <row r="22" spans="1:14" ht="52.5" customHeight="1">
      <c r="A22" s="47"/>
      <c r="B22" s="12">
        <v>14</v>
      </c>
      <c r="C22" s="29" t="s">
        <v>3</v>
      </c>
      <c r="D22" s="32" t="s">
        <v>5</v>
      </c>
      <c r="E22" s="29" t="s">
        <v>3</v>
      </c>
      <c r="F22" s="25" t="s">
        <v>5</v>
      </c>
      <c r="G22" s="29" t="s">
        <v>3</v>
      </c>
      <c r="H22" s="25" t="s">
        <v>5</v>
      </c>
      <c r="I22" s="13"/>
      <c r="J22" s="14"/>
      <c r="K22" s="8"/>
      <c r="L22" s="8"/>
    </row>
    <row r="23" spans="1:14" ht="52.5" customHeight="1" thickBot="1">
      <c r="A23" s="48"/>
      <c r="B23" s="39">
        <v>15</v>
      </c>
      <c r="C23" s="75" t="s">
        <v>3</v>
      </c>
      <c r="D23" s="38" t="s">
        <v>5</v>
      </c>
      <c r="E23" s="30" t="s">
        <v>3</v>
      </c>
      <c r="F23" s="38" t="s">
        <v>5</v>
      </c>
      <c r="G23" s="30" t="s">
        <v>3</v>
      </c>
      <c r="H23" s="38" t="s">
        <v>5</v>
      </c>
      <c r="I23" s="37"/>
      <c r="J23" s="36"/>
      <c r="K23" s="34"/>
      <c r="L23" s="34"/>
      <c r="M23" s="33"/>
      <c r="N23" s="33"/>
    </row>
    <row r="24" spans="1:14" ht="52" customHeight="1" thickBot="1">
      <c r="A24" s="1"/>
      <c r="B24" s="15" t="s">
        <v>6</v>
      </c>
      <c r="C24" s="46">
        <f ca="1">CountColor(C9:C23,C27)</f>
        <v>0</v>
      </c>
      <c r="D24" s="46">
        <f ca="1">CountColor(D9:D23,D27)</f>
        <v>0</v>
      </c>
      <c r="E24" s="46">
        <f t="shared" ref="E24:H24" ca="1" si="0">CountColor(E9:E23,E27)</f>
        <v>0</v>
      </c>
      <c r="F24" s="46">
        <f t="shared" ca="1" si="0"/>
        <v>0</v>
      </c>
      <c r="G24" s="46">
        <f t="shared" ca="1" si="0"/>
        <v>0</v>
      </c>
      <c r="H24" s="46">
        <f t="shared" ca="1" si="0"/>
        <v>0</v>
      </c>
      <c r="I24" s="16"/>
      <c r="J24" s="17"/>
      <c r="K24" s="8"/>
      <c r="L24" s="8"/>
    </row>
    <row r="25" spans="1:14" ht="52.5" customHeight="1" thickBot="1">
      <c r="A25" s="2"/>
      <c r="B25" s="18" t="s">
        <v>7</v>
      </c>
      <c r="C25" s="19">
        <f ca="1">C24*4</f>
        <v>0</v>
      </c>
      <c r="D25" s="20">
        <f ca="1">D24*4</f>
        <v>0</v>
      </c>
      <c r="E25" s="19">
        <f ca="1">E24*3</f>
        <v>0</v>
      </c>
      <c r="F25" s="20">
        <f ca="1">F24*3</f>
        <v>0</v>
      </c>
      <c r="G25" s="19">
        <f ca="1">G24*2</f>
        <v>0</v>
      </c>
      <c r="H25" s="20">
        <f ca="1">H24*2</f>
        <v>0</v>
      </c>
      <c r="I25" s="21">
        <f>I24</f>
        <v>0</v>
      </c>
      <c r="J25" s="22">
        <f>J24</f>
        <v>0</v>
      </c>
      <c r="K25" s="8"/>
      <c r="L25" s="8"/>
    </row>
    <row r="27" spans="1:14" ht="23" hidden="1">
      <c r="C27" s="41"/>
      <c r="D27" s="45"/>
      <c r="E27" s="41"/>
      <c r="F27" s="45"/>
      <c r="G27" s="41"/>
      <c r="H27" s="45"/>
    </row>
  </sheetData>
  <mergeCells count="18">
    <mergeCell ref="E1:G1"/>
    <mergeCell ref="G7:H7"/>
    <mergeCell ref="I6:J6"/>
    <mergeCell ref="A6:A8"/>
    <mergeCell ref="B4:C4"/>
    <mergeCell ref="B3:C3"/>
    <mergeCell ref="D3:F3"/>
    <mergeCell ref="D4:F4"/>
    <mergeCell ref="A9:A23"/>
    <mergeCell ref="C8:D8"/>
    <mergeCell ref="E8:F8"/>
    <mergeCell ref="G8:H8"/>
    <mergeCell ref="B6:B7"/>
    <mergeCell ref="C6:D6"/>
    <mergeCell ref="C7:D7"/>
    <mergeCell ref="E6:F6"/>
    <mergeCell ref="E7:F7"/>
    <mergeCell ref="G6:H6"/>
  </mergeCells>
  <phoneticPr fontId="1"/>
  <pageMargins left="0.7" right="0.7" top="0.75" bottom="0.75" header="0.3" footer="0.3"/>
  <pageSetup paperSize="9" scale="5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T21119</dc:creator>
  <cp:lastModifiedBy>石川 諒</cp:lastModifiedBy>
  <cp:lastPrinted>2017-10-03T08:48:44Z</cp:lastPrinted>
  <dcterms:created xsi:type="dcterms:W3CDTF">2017-10-03T08:24:31Z</dcterms:created>
  <dcterms:modified xsi:type="dcterms:W3CDTF">2017-10-03T15:16:12Z</dcterms:modified>
</cp:coreProperties>
</file>